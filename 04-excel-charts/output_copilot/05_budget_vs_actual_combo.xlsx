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預算對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月度預算 vs 實際金額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'預算對比'!B1</f>
            </strRef>
          </tx>
          <spPr>
            <a:solidFill xmlns:a="http://schemas.openxmlformats.org/drawingml/2006/main">
              <a:srgbClr val="B4C6E7"/>
            </a:solidFill>
            <a:ln xmlns:a="http://schemas.openxmlformats.org/drawingml/2006/main">
              <a:prstDash val="solid"/>
            </a:ln>
          </spPr>
          <cat>
            <numRef>
              <f>'預算對比'!$A$2:$A$13</f>
            </numRef>
          </cat>
          <val>
            <numRef>
              <f>'預算對比'!$B$2:$B$13</f>
            </numRef>
          </val>
        </ser>
        <ser>
          <idx val="1"/>
          <order val="1"/>
          <tx>
            <strRef>
              <f>'預算對比'!C1</f>
            </strRef>
          </tx>
          <spPr>
            <a:solidFill xmlns:a="http://schemas.openxmlformats.org/drawingml/2006/main">
              <a:srgbClr val="2F5496"/>
            </a:solidFill>
            <a:ln xmlns:a="http://schemas.openxmlformats.org/drawingml/2006/main">
              <a:prstDash val="solid"/>
            </a:ln>
          </spPr>
          <cat>
            <numRef>
              <f>'預算對比'!$A$2:$A$13</f>
            </numRef>
          </cat>
          <val>
            <numRef>
              <f>'預算對比'!$C$2:$C$13</f>
            </numRef>
          </val>
        </ser>
        <gapWidth val="150"/>
        <axId val="10"/>
        <axId val="100"/>
      </barChart>
      <lineChart>
        <grouping val="standard"/>
        <ser>
          <idx val="2"/>
          <order val="2"/>
          <tx>
            <strRef>
              <f>'預算對比'!E1</f>
            </strRef>
          </tx>
          <spPr>
            <a:ln xmlns:a="http://schemas.openxmlformats.org/drawingml/2006/main" w="25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'預算對比'!$E$2:$E$13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金額</a:t>
                </a:r>
              </a:p>
            </rich>
          </tx>
        </title>
        <numFmt formatCode="#,##0" sourceLinked="0"/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差異率(%)</a:t>
                </a:r>
              </a:p>
            </rich>
          </tx>
        </title>
        <numFmt formatCode="0.0" sourceLinked="0"/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1" customWidth="1" min="5" max="5"/>
  </cols>
  <sheetData>
    <row r="1">
      <c r="A1" s="1" t="inlineStr">
        <is>
          <t>月份</t>
        </is>
      </c>
      <c r="B1" s="1" t="inlineStr">
        <is>
          <t>預算金額</t>
        </is>
      </c>
      <c r="C1" s="1" t="inlineStr">
        <is>
          <t>實際金額</t>
        </is>
      </c>
      <c r="D1" s="1" t="inlineStr">
        <is>
          <t>差異金額</t>
        </is>
      </c>
      <c r="E1" s="1" t="inlineStr">
        <is>
          <t>差異率(%)</t>
        </is>
      </c>
    </row>
    <row r="2">
      <c r="A2" s="2" t="inlineStr">
        <is>
          <t>2025-01</t>
        </is>
      </c>
      <c r="B2" s="3" t="n">
        <v>10190000</v>
      </c>
      <c r="C2" s="3" t="n">
        <v>11649270</v>
      </c>
      <c r="D2" s="3" t="n">
        <v>1459270</v>
      </c>
      <c r="E2" s="2" t="n">
        <v>14.3</v>
      </c>
    </row>
    <row r="3">
      <c r="A3" s="2" t="inlineStr">
        <is>
          <t>2025-02</t>
        </is>
      </c>
      <c r="B3" s="3" t="n">
        <v>10190000</v>
      </c>
      <c r="C3" s="3" t="n">
        <v>10465904</v>
      </c>
      <c r="D3" s="3" t="n">
        <v>275904</v>
      </c>
      <c r="E3" s="2" t="n">
        <v>2.7</v>
      </c>
    </row>
    <row r="4">
      <c r="A4" s="2" t="inlineStr">
        <is>
          <t>2025-03</t>
        </is>
      </c>
      <c r="B4" s="3" t="n">
        <v>8990000</v>
      </c>
      <c r="C4" s="3" t="n">
        <v>10668124</v>
      </c>
      <c r="D4" s="3" t="n">
        <v>1678124</v>
      </c>
      <c r="E4" s="2" t="n">
        <v>18.7</v>
      </c>
    </row>
    <row r="5">
      <c r="A5" s="2" t="inlineStr">
        <is>
          <t>2025-04</t>
        </is>
      </c>
      <c r="B5" s="3" t="n">
        <v>5440000</v>
      </c>
      <c r="C5" s="3" t="n">
        <v>5809024</v>
      </c>
      <c r="D5" s="3" t="n">
        <v>369024</v>
      </c>
      <c r="E5" s="2" t="n">
        <v>6.8</v>
      </c>
    </row>
    <row r="6">
      <c r="A6" s="2" t="inlineStr">
        <is>
          <t>2025-05</t>
        </is>
      </c>
      <c r="B6" s="3" t="n">
        <v>8820000</v>
      </c>
      <c r="C6" s="3" t="n">
        <v>7733597</v>
      </c>
      <c r="D6" s="3" t="n">
        <v>-1086403</v>
      </c>
      <c r="E6" s="2" t="n">
        <v>-12.3</v>
      </c>
    </row>
    <row r="7">
      <c r="A7" s="2" t="inlineStr">
        <is>
          <t>2025-06</t>
        </is>
      </c>
      <c r="B7" s="3" t="n">
        <v>5160000</v>
      </c>
      <c r="C7" s="3" t="n">
        <v>4791302</v>
      </c>
      <c r="D7" s="3" t="n">
        <v>-368698</v>
      </c>
      <c r="E7" s="2" t="n">
        <v>-7.1</v>
      </c>
    </row>
    <row r="8">
      <c r="A8" s="2" t="inlineStr">
        <is>
          <t>2025-07</t>
        </is>
      </c>
      <c r="B8" s="3" t="n">
        <v>5690000</v>
      </c>
      <c r="C8" s="3" t="n">
        <v>5248463</v>
      </c>
      <c r="D8" s="3" t="n">
        <v>-441537</v>
      </c>
      <c r="E8" s="2" t="n">
        <v>-7.8</v>
      </c>
    </row>
    <row r="9">
      <c r="A9" s="2" t="inlineStr">
        <is>
          <t>2025-08</t>
        </is>
      </c>
      <c r="B9" s="3" t="n">
        <v>11720000</v>
      </c>
      <c r="C9" s="3" t="n">
        <v>12471585</v>
      </c>
      <c r="D9" s="3" t="n">
        <v>751585</v>
      </c>
      <c r="E9" s="2" t="n">
        <v>6.4</v>
      </c>
    </row>
    <row r="10">
      <c r="A10" s="2" t="inlineStr">
        <is>
          <t>2025-09</t>
        </is>
      </c>
      <c r="B10" s="3" t="n">
        <v>10950000</v>
      </c>
      <c r="C10" s="3" t="n">
        <v>12237648</v>
      </c>
      <c r="D10" s="3" t="n">
        <v>1287648</v>
      </c>
      <c r="E10" s="2" t="n">
        <v>11.8</v>
      </c>
    </row>
    <row r="11">
      <c r="A11" s="2" t="inlineStr">
        <is>
          <t>2025-10</t>
        </is>
      </c>
      <c r="B11" s="3" t="n">
        <v>8400000</v>
      </c>
      <c r="C11" s="3" t="n">
        <v>6860320</v>
      </c>
      <c r="D11" s="3" t="n">
        <v>-1539680</v>
      </c>
      <c r="E11" s="2" t="n">
        <v>-18.3</v>
      </c>
    </row>
    <row r="12">
      <c r="A12" s="2" t="inlineStr">
        <is>
          <t>2025-11</t>
        </is>
      </c>
      <c r="B12" s="3" t="n">
        <v>8600000</v>
      </c>
      <c r="C12" s="3" t="n">
        <v>8797859</v>
      </c>
      <c r="D12" s="3" t="n">
        <v>197859</v>
      </c>
      <c r="E12" s="2" t="n">
        <v>2.3</v>
      </c>
    </row>
    <row r="13">
      <c r="A13" s="2" t="inlineStr">
        <is>
          <t>2025-12</t>
        </is>
      </c>
      <c r="B13" s="3" t="n">
        <v>11580000</v>
      </c>
      <c r="C13" s="3" t="n">
        <v>9698766</v>
      </c>
      <c r="D13" s="3" t="n">
        <v>-1881234</v>
      </c>
      <c r="E13" s="2" t="n">
        <v>-16.2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2026-03-13T03:45:02Z</dcterms:created>
  <dcterms:modified xmlns:dcterms="http://purl.org/dc/terms/" xmlns:xsi="http://www.w3.org/2001/XMLSchema-instance" xsi:type="dcterms:W3CDTF">2026-03-13T03:45:02Z</dcterms:modified>
</cp:coreProperties>
</file>