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趨勢" sheetId="1" state="visible" r:id="rId1"/>
    <sheet xmlns:r="http://schemas.openxmlformats.org/officeDocument/2006/relationships" name="市占率" sheetId="2" state="visible" r:id="rId2"/>
    <sheet xmlns:r="http://schemas.openxmlformats.org/officeDocument/2006/relationships" name="預算對比" sheetId="3" state="visible" r:id="rId3"/>
    <sheet xmlns:r="http://schemas.openxmlformats.org/officeDocument/2006/relationships" name="績效排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F8F00"/>
        <bgColor rgb="00BF8F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年各區域月度營收趨勢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'月度趨勢'!B1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'月度趨勢'!$B$2:$B$13</f>
            </numRef>
          </val>
        </ser>
        <ser>
          <idx val="1"/>
          <order val="1"/>
          <tx>
            <strRef>
              <f>'月度趨勢'!C1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'月度趨勢'!$C$2:$C$13</f>
            </numRef>
          </val>
        </ser>
        <ser>
          <idx val="2"/>
          <order val="2"/>
          <tx>
            <strRef>
              <f>'月度趨勢'!D1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'月度趨勢'!$D$2:$D$13</f>
            </numRef>
          </val>
        </ser>
        <ser>
          <idx val="3"/>
          <order val="3"/>
          <tx>
            <strRef>
              <f>'月度趨勢'!E1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品牌市占率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'市占率'!$A$2:$A$7</f>
            </numRef>
          </cat>
          <val>
            <numRef>
              <f>'市占率'!$B$2:$B$7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月度預算 vs 實際金額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'預算對比'!B1</f>
            </strRef>
          </tx>
          <spPr>
            <a:solidFill xmlns:a="http://schemas.openxmlformats.org/drawingml/2006/main">
              <a:srgbClr val="B4C6E7"/>
            </a:solidFill>
            <a:ln xmlns:a="http://schemas.openxmlformats.org/drawingml/2006/main">
              <a:prstDash val="solid"/>
            </a:ln>
          </spPr>
          <cat>
            <numRef>
              <f>'預算對比'!$A$2:$A$13</f>
            </numRef>
          </cat>
          <val>
            <numRef>
              <f>'預算對比'!$B$2:$B$13</f>
            </numRef>
          </val>
        </ser>
        <ser>
          <idx val="1"/>
          <order val="1"/>
          <tx>
            <strRef>
              <f>'預算對比'!C1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'預算對比'!$A$2:$A$13</f>
            </numRef>
          </cat>
          <val>
            <numRef>
              <f>'預算對比'!$C$2:$C$13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業務員年度業績排名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'績效排名'!B1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'績效排名'!$A$2:$A$16</f>
            </numRef>
          </cat>
          <val>
            <numRef>
              <f>'績效排名'!$B$2:$B$16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.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年月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2025-01</t>
        </is>
      </c>
      <c r="B2" s="2" t="n">
        <v>7063624</v>
      </c>
      <c r="C2" s="2" t="n">
        <v>6648545</v>
      </c>
      <c r="D2" s="2" t="n">
        <v>8035644</v>
      </c>
      <c r="E2" s="2" t="n">
        <v>8973780</v>
      </c>
    </row>
    <row r="3">
      <c r="A3" s="2" t="inlineStr">
        <is>
          <t>2025-02</t>
        </is>
      </c>
      <c r="B3" s="2" t="n">
        <v>6148712</v>
      </c>
      <c r="C3" s="2" t="n">
        <v>7202965</v>
      </c>
      <c r="D3" s="2" t="n">
        <v>2734448</v>
      </c>
      <c r="E3" s="2" t="n">
        <v>5752397</v>
      </c>
    </row>
    <row r="4">
      <c r="A4" s="2" t="inlineStr">
        <is>
          <t>2025-03</t>
        </is>
      </c>
      <c r="B4" s="2" t="n">
        <v>9159073</v>
      </c>
      <c r="C4" s="2" t="n">
        <v>4642429</v>
      </c>
      <c r="D4" s="2" t="n">
        <v>8907694</v>
      </c>
      <c r="E4" s="2" t="n">
        <v>4943666</v>
      </c>
    </row>
    <row r="5">
      <c r="A5" s="2" t="inlineStr">
        <is>
          <t>2025-04</t>
        </is>
      </c>
      <c r="B5" s="2" t="n">
        <v>9147195</v>
      </c>
      <c r="C5" s="2" t="n">
        <v>12176185</v>
      </c>
      <c r="D5" s="2" t="n">
        <v>7252230</v>
      </c>
      <c r="E5" s="2" t="n">
        <v>7773952</v>
      </c>
    </row>
    <row r="6">
      <c r="A6" s="2" t="inlineStr">
        <is>
          <t>2025-05</t>
        </is>
      </c>
      <c r="B6" s="2" t="n">
        <v>5046786</v>
      </c>
      <c r="C6" s="2" t="n">
        <v>7346761</v>
      </c>
      <c r="D6" s="2" t="n">
        <v>5089592</v>
      </c>
      <c r="E6" s="2" t="n">
        <v>6902956</v>
      </c>
    </row>
    <row r="7">
      <c r="A7" s="2" t="inlineStr">
        <is>
          <t>2025-06</t>
        </is>
      </c>
      <c r="B7" s="2" t="n">
        <v>7992692</v>
      </c>
      <c r="C7" s="2" t="n">
        <v>8847626</v>
      </c>
      <c r="D7" s="2" t="n">
        <v>9724973</v>
      </c>
      <c r="E7" s="2" t="n">
        <v>9460925</v>
      </c>
    </row>
    <row r="8">
      <c r="A8" s="2" t="inlineStr">
        <is>
          <t>2025-07</t>
        </is>
      </c>
      <c r="B8" s="2" t="n">
        <v>7661429</v>
      </c>
      <c r="C8" s="2" t="n">
        <v>6625363</v>
      </c>
      <c r="D8" s="2" t="n">
        <v>10039491</v>
      </c>
      <c r="E8" s="2" t="n">
        <v>10012425</v>
      </c>
    </row>
    <row r="9">
      <c r="A9" s="2" t="inlineStr">
        <is>
          <t>2025-08</t>
        </is>
      </c>
      <c r="B9" s="2" t="n">
        <v>9698253</v>
      </c>
      <c r="C9" s="2" t="n">
        <v>9818382</v>
      </c>
      <c r="D9" s="2" t="n">
        <v>11797062</v>
      </c>
      <c r="E9" s="2" t="n">
        <v>7910804</v>
      </c>
    </row>
    <row r="10">
      <c r="A10" s="2" t="inlineStr">
        <is>
          <t>2025-09</t>
        </is>
      </c>
      <c r="B10" s="2" t="n">
        <v>11000117</v>
      </c>
      <c r="C10" s="2" t="n">
        <v>9571632</v>
      </c>
      <c r="D10" s="2" t="n">
        <v>7433197</v>
      </c>
      <c r="E10" s="2" t="n">
        <v>5231573</v>
      </c>
    </row>
    <row r="11">
      <c r="A11" s="2" t="inlineStr">
        <is>
          <t>2025-10</t>
        </is>
      </c>
      <c r="B11" s="2" t="n">
        <v>11373423</v>
      </c>
      <c r="C11" s="2" t="n">
        <v>9639808</v>
      </c>
      <c r="D11" s="2" t="n">
        <v>16143160</v>
      </c>
      <c r="E11" s="2" t="n">
        <v>10944328</v>
      </c>
    </row>
    <row r="12">
      <c r="A12" s="2" t="inlineStr">
        <is>
          <t>2025-11</t>
        </is>
      </c>
      <c r="B12" s="2" t="n">
        <v>12084431</v>
      </c>
      <c r="C12" s="2" t="n">
        <v>15473031</v>
      </c>
      <c r="D12" s="2" t="n">
        <v>8196057</v>
      </c>
      <c r="E12" s="2" t="n">
        <v>9634269</v>
      </c>
    </row>
    <row r="13">
      <c r="A13" s="2" t="inlineStr">
        <is>
          <t>2025-12</t>
        </is>
      </c>
      <c r="B13" s="2" t="n">
        <v>12581129</v>
      </c>
      <c r="C13" s="2" t="n">
        <v>13634687</v>
      </c>
      <c r="D13" s="2" t="n">
        <v>15073774</v>
      </c>
      <c r="E13" s="2" t="n">
        <v>16761450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9.6" customWidth="1" min="2" max="2"/>
  </cols>
  <sheetData>
    <row r="1">
      <c r="A1" s="3" t="inlineStr">
        <is>
          <t>品牌</t>
        </is>
      </c>
      <c r="B1" s="3" t="inlineStr">
        <is>
          <t>市占率(%)</t>
        </is>
      </c>
    </row>
    <row r="2">
      <c r="A2" s="2" t="inlineStr">
        <is>
          <t>自有品牌</t>
        </is>
      </c>
      <c r="B2" s="2" t="n">
        <v>32.5</v>
      </c>
    </row>
    <row r="3">
      <c r="A3" s="2" t="inlineStr">
        <is>
          <t>品牌A</t>
        </is>
      </c>
      <c r="B3" s="2" t="n">
        <v>24.8</v>
      </c>
    </row>
    <row r="4">
      <c r="A4" s="2" t="inlineStr">
        <is>
          <t>品牌B</t>
        </is>
      </c>
      <c r="B4" s="2" t="n">
        <v>18.3</v>
      </c>
    </row>
    <row r="5">
      <c r="A5" s="2" t="inlineStr">
        <is>
          <t>品牌C</t>
        </is>
      </c>
      <c r="B5" s="2" t="n">
        <v>12.1</v>
      </c>
    </row>
    <row r="6">
      <c r="A6" s="2" t="inlineStr">
        <is>
          <t>品牌D</t>
        </is>
      </c>
      <c r="B6" s="2" t="n">
        <v>7.6</v>
      </c>
    </row>
    <row r="7">
      <c r="A7" s="2" t="inlineStr">
        <is>
          <t>其他</t>
        </is>
      </c>
      <c r="B7" s="2" t="n">
        <v>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.8" customWidth="1" min="1" max="1"/>
    <col width="12" customWidth="1" min="2" max="2"/>
    <col width="12" customWidth="1" min="3" max="3"/>
    <col width="12" customWidth="1" min="4" max="4"/>
    <col width="9.6" customWidth="1" min="5" max="5"/>
  </cols>
  <sheetData>
    <row r="1">
      <c r="A1" s="4" t="inlineStr">
        <is>
          <t>月份</t>
        </is>
      </c>
      <c r="B1" s="4" t="inlineStr">
        <is>
          <t>預算金額</t>
        </is>
      </c>
      <c r="C1" s="4" t="inlineStr">
        <is>
          <t>實際金額</t>
        </is>
      </c>
      <c r="D1" s="4" t="inlineStr">
        <is>
          <t>差異金額</t>
        </is>
      </c>
      <c r="E1" s="4" t="inlineStr">
        <is>
          <t>差異率(%)</t>
        </is>
      </c>
    </row>
    <row r="2">
      <c r="A2" s="2" t="inlineStr">
        <is>
          <t>2025-01</t>
        </is>
      </c>
      <c r="B2" s="2" t="n">
        <v>10190000</v>
      </c>
      <c r="C2" s="2" t="n">
        <v>11649270</v>
      </c>
      <c r="D2" s="2" t="n">
        <v>1459270</v>
      </c>
      <c r="E2" s="2" t="n">
        <v>14.3</v>
      </c>
    </row>
    <row r="3">
      <c r="A3" s="2" t="inlineStr">
        <is>
          <t>2025-02</t>
        </is>
      </c>
      <c r="B3" s="2" t="n">
        <v>10190000</v>
      </c>
      <c r="C3" s="2" t="n">
        <v>10465904</v>
      </c>
      <c r="D3" s="2" t="n">
        <v>275904</v>
      </c>
      <c r="E3" s="2" t="n">
        <v>2.7</v>
      </c>
    </row>
    <row r="4">
      <c r="A4" s="2" t="inlineStr">
        <is>
          <t>2025-03</t>
        </is>
      </c>
      <c r="B4" s="2" t="n">
        <v>8990000</v>
      </c>
      <c r="C4" s="2" t="n">
        <v>10668124</v>
      </c>
      <c r="D4" s="2" t="n">
        <v>1678124</v>
      </c>
      <c r="E4" s="2" t="n">
        <v>18.7</v>
      </c>
    </row>
    <row r="5">
      <c r="A5" s="2" t="inlineStr">
        <is>
          <t>2025-04</t>
        </is>
      </c>
      <c r="B5" s="2" t="n">
        <v>5440000</v>
      </c>
      <c r="C5" s="2" t="n">
        <v>5809024</v>
      </c>
      <c r="D5" s="2" t="n">
        <v>369024</v>
      </c>
      <c r="E5" s="2" t="n">
        <v>6.8</v>
      </c>
    </row>
    <row r="6">
      <c r="A6" s="2" t="inlineStr">
        <is>
          <t>2025-05</t>
        </is>
      </c>
      <c r="B6" s="2" t="n">
        <v>8820000</v>
      </c>
      <c r="C6" s="2" t="n">
        <v>7733597</v>
      </c>
      <c r="D6" s="2" t="n">
        <v>-1086403</v>
      </c>
      <c r="E6" s="2" t="n">
        <v>-12.3</v>
      </c>
    </row>
    <row r="7">
      <c r="A7" s="2" t="inlineStr">
        <is>
          <t>2025-06</t>
        </is>
      </c>
      <c r="B7" s="2" t="n">
        <v>5160000</v>
      </c>
      <c r="C7" s="2" t="n">
        <v>4791302</v>
      </c>
      <c r="D7" s="2" t="n">
        <v>-368698</v>
      </c>
      <c r="E7" s="2" t="n">
        <v>-7.1</v>
      </c>
    </row>
    <row r="8">
      <c r="A8" s="2" t="inlineStr">
        <is>
          <t>2025-07</t>
        </is>
      </c>
      <c r="B8" s="2" t="n">
        <v>5690000</v>
      </c>
      <c r="C8" s="2" t="n">
        <v>5248463</v>
      </c>
      <c r="D8" s="2" t="n">
        <v>-441537</v>
      </c>
      <c r="E8" s="2" t="n">
        <v>-7.8</v>
      </c>
    </row>
    <row r="9">
      <c r="A9" s="2" t="inlineStr">
        <is>
          <t>2025-08</t>
        </is>
      </c>
      <c r="B9" s="2" t="n">
        <v>11720000</v>
      </c>
      <c r="C9" s="2" t="n">
        <v>12471585</v>
      </c>
      <c r="D9" s="2" t="n">
        <v>751585</v>
      </c>
      <c r="E9" s="2" t="n">
        <v>6.4</v>
      </c>
    </row>
    <row r="10">
      <c r="A10" s="2" t="inlineStr">
        <is>
          <t>2025-09</t>
        </is>
      </c>
      <c r="B10" s="2" t="n">
        <v>10950000</v>
      </c>
      <c r="C10" s="2" t="n">
        <v>12237648</v>
      </c>
      <c r="D10" s="2" t="n">
        <v>1287648</v>
      </c>
      <c r="E10" s="2" t="n">
        <v>11.8</v>
      </c>
    </row>
    <row r="11">
      <c r="A11" s="2" t="inlineStr">
        <is>
          <t>2025-10</t>
        </is>
      </c>
      <c r="B11" s="2" t="n">
        <v>8400000</v>
      </c>
      <c r="C11" s="2" t="n">
        <v>6860320</v>
      </c>
      <c r="D11" s="2" t="n">
        <v>-1539680</v>
      </c>
      <c r="E11" s="2" t="n">
        <v>-18.3</v>
      </c>
    </row>
    <row r="12">
      <c r="A12" s="2" t="inlineStr">
        <is>
          <t>2025-11</t>
        </is>
      </c>
      <c r="B12" s="2" t="n">
        <v>8600000</v>
      </c>
      <c r="C12" s="2" t="n">
        <v>8797859</v>
      </c>
      <c r="D12" s="2" t="n">
        <v>197859</v>
      </c>
      <c r="E12" s="2" t="n">
        <v>2.3</v>
      </c>
    </row>
    <row r="13">
      <c r="A13" s="2" t="inlineStr">
        <is>
          <t>2025-12</t>
        </is>
      </c>
      <c r="B13" s="2" t="n">
        <v>11580000</v>
      </c>
      <c r="C13" s="2" t="n">
        <v>9698766</v>
      </c>
      <c r="D13" s="2" t="n">
        <v>-1881234</v>
      </c>
      <c r="E13" s="2" t="n">
        <v>-16.2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s="1" t="inlineStr">
        <is>
          <t>業務員</t>
        </is>
      </c>
      <c r="B1" s="1" t="inlineStr">
        <is>
          <t>實際業績</t>
        </is>
      </c>
    </row>
    <row r="2">
      <c r="A2" s="2" t="inlineStr">
        <is>
          <t>劉雅婷</t>
        </is>
      </c>
      <c r="B2" s="2" t="n">
        <v>10862775</v>
      </c>
    </row>
    <row r="3">
      <c r="A3" s="2" t="inlineStr">
        <is>
          <t>周國華</t>
        </is>
      </c>
      <c r="B3" s="2" t="n">
        <v>11798246</v>
      </c>
    </row>
    <row r="4">
      <c r="A4" s="2" t="inlineStr">
        <is>
          <t>許文龍</t>
        </is>
      </c>
      <c r="B4" s="2" t="n">
        <v>13097910</v>
      </c>
    </row>
    <row r="5">
      <c r="A5" s="2" t="inlineStr">
        <is>
          <t>黃美玲</t>
        </is>
      </c>
      <c r="B5" s="2" t="n">
        <v>13153172</v>
      </c>
    </row>
    <row r="6">
      <c r="A6" s="2" t="inlineStr">
        <is>
          <t>蔡明哲</t>
        </is>
      </c>
      <c r="B6" s="2" t="n">
        <v>13818558</v>
      </c>
    </row>
    <row r="7">
      <c r="A7" s="2" t="inlineStr">
        <is>
          <t>林淑芬</t>
        </is>
      </c>
      <c r="B7" s="2" t="n">
        <v>14079980</v>
      </c>
    </row>
    <row r="8">
      <c r="A8" s="2" t="inlineStr">
        <is>
          <t>吳家豪</t>
        </is>
      </c>
      <c r="B8" s="2" t="n">
        <v>16273761</v>
      </c>
    </row>
    <row r="9">
      <c r="A9" s="2" t="inlineStr">
        <is>
          <t>陳俊宏</t>
        </is>
      </c>
      <c r="B9" s="2" t="n">
        <v>16768353</v>
      </c>
    </row>
    <row r="10">
      <c r="A10" s="2" t="inlineStr">
        <is>
          <t>李佳穎</t>
        </is>
      </c>
      <c r="B10" s="2" t="n">
        <v>17762328</v>
      </c>
    </row>
    <row r="11">
      <c r="A11" s="2" t="inlineStr">
        <is>
          <t>賴怡君</t>
        </is>
      </c>
      <c r="B11" s="2" t="n">
        <v>17891440</v>
      </c>
    </row>
    <row r="12">
      <c r="A12" s="2" t="inlineStr">
        <is>
          <t>蘇冠宇</t>
        </is>
      </c>
      <c r="B12" s="2" t="n">
        <v>18566426</v>
      </c>
    </row>
    <row r="13">
      <c r="A13" s="2" t="inlineStr">
        <is>
          <t>張志偉</t>
        </is>
      </c>
      <c r="B13" s="2" t="n">
        <v>18813515</v>
      </c>
    </row>
    <row r="14">
      <c r="A14" s="2" t="inlineStr">
        <is>
          <t>王建明</t>
        </is>
      </c>
      <c r="B14" s="2" t="n">
        <v>19048190</v>
      </c>
    </row>
    <row r="15">
      <c r="A15" s="2" t="inlineStr">
        <is>
          <t>楊佩琪</t>
        </is>
      </c>
      <c r="B15" s="2" t="n">
        <v>21868316</v>
      </c>
    </row>
    <row r="16">
      <c r="A16" s="2" t="inlineStr">
        <is>
          <t>鄭惠如</t>
        </is>
      </c>
      <c r="B16" s="2" t="n">
        <v>25232400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2026-03-13T03:38:58Z</dcterms:created>
  <dcterms:modified xmlns:dcterms="http://purl.org/dc/terms/" xmlns:xsi="http://www.w3.org/2001/XMLSchema-instance" xsi:type="dcterms:W3CDTF">2026-03-13T03:38:58Z</dcterms:modified>
</cp:coreProperties>
</file>