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個人KPI達成率" sheetId="1" state="visible" r:id="rId1"/>
    <sheet name="部門KPI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部門預算達成狀況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'部門KPI彙總'!B1</f>
            </strRef>
          </tx>
          <spPr>
            <a:ln>
              <a:prstDash val="solid"/>
            </a:ln>
          </spPr>
          <cat>
            <numRef>
              <f>'部門KPI彙總'!$A$2:$A$1</f>
            </numRef>
          </cat>
          <val>
            <numRef>
              <f>'部門KPI彙總'!$C$1:$B$1</f>
            </numRef>
          </val>
        </ser>
        <ser>
          <idx val="1"/>
          <order val="1"/>
          <tx>
            <strRef>
              <f>'部門KPI彙總'!C1</f>
            </strRef>
          </tx>
          <spPr>
            <a:ln>
              <a:prstDash val="solid"/>
            </a:ln>
          </spPr>
          <cat>
            <numRef>
              <f>'部門KPI彙總'!$A$2:$A$1</f>
            </numRef>
          </cat>
          <val>
            <numRef>
              <f>'部門KPI彙總'!$D$1:$C$1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業務員</t>
        </is>
      </c>
      <c r="B1" s="1" t="inlineStr">
        <is>
          <t>實際銷售額</t>
        </is>
      </c>
      <c r="C1" s="1" t="inlineStr">
        <is>
          <t>部門</t>
        </is>
      </c>
      <c r="D1" s="1" t="inlineStr">
        <is>
          <t>預算目標</t>
        </is>
      </c>
      <c r="E1" s="1" t="inlineStr">
        <is>
          <t>達成率%</t>
        </is>
      </c>
      <c r="F1" s="1" t="inlineStr">
        <is>
          <t>狀態</t>
        </is>
      </c>
    </row>
    <row r="2">
      <c r="A2" s="2" t="inlineStr">
        <is>
          <t>何品睿</t>
        </is>
      </c>
      <c r="B2" s="2" t="n">
        <v>522692</v>
      </c>
      <c r="C2" s="2" t="n">
        <v/>
      </c>
      <c r="D2" s="2" t="n">
        <v/>
      </c>
      <c r="E2" s="2" t="n">
        <v/>
      </c>
      <c r="F2" s="2" t="inlineStr">
        <is>
          <t>✘未達成</t>
        </is>
      </c>
    </row>
    <row r="3">
      <c r="A3" s="2" t="inlineStr">
        <is>
          <t>劉宗翰</t>
        </is>
      </c>
      <c r="B3" s="2" t="n">
        <v>460983</v>
      </c>
      <c r="C3" s="2" t="n">
        <v/>
      </c>
      <c r="D3" s="2" t="n">
        <v/>
      </c>
      <c r="E3" s="2" t="n">
        <v/>
      </c>
      <c r="F3" s="2" t="inlineStr">
        <is>
          <t>✘未達成</t>
        </is>
      </c>
    </row>
    <row r="4">
      <c r="A4" s="2" t="inlineStr">
        <is>
          <t>吳柏翰</t>
        </is>
      </c>
      <c r="B4" s="2" t="n">
        <v>584522</v>
      </c>
      <c r="C4" s="2" t="n">
        <v/>
      </c>
      <c r="D4" s="2" t="n">
        <v/>
      </c>
      <c r="E4" s="2" t="n">
        <v/>
      </c>
      <c r="F4" s="2" t="inlineStr">
        <is>
          <t>✘未達成</t>
        </is>
      </c>
    </row>
    <row r="5">
      <c r="A5" s="2" t="inlineStr">
        <is>
          <t>呂明哲</t>
        </is>
      </c>
      <c r="B5" s="2" t="n">
        <v>523858</v>
      </c>
      <c r="C5" s="2" t="n">
        <v/>
      </c>
      <c r="D5" s="2" t="n">
        <v/>
      </c>
      <c r="E5" s="2" t="n">
        <v/>
      </c>
      <c r="F5" s="2" t="inlineStr">
        <is>
          <t>✘未達成</t>
        </is>
      </c>
    </row>
    <row r="6">
      <c r="A6" s="2" t="inlineStr">
        <is>
          <t>周玉婷</t>
        </is>
      </c>
      <c r="B6" s="2" t="n">
        <v>295978</v>
      </c>
      <c r="C6" s="2" t="n">
        <v/>
      </c>
      <c r="D6" s="2" t="n">
        <v/>
      </c>
      <c r="E6" s="2" t="n">
        <v/>
      </c>
      <c r="F6" s="2" t="inlineStr">
        <is>
          <t>✘未達成</t>
        </is>
      </c>
    </row>
    <row r="7">
      <c r="A7" s="2" t="inlineStr">
        <is>
          <t>廖心怡</t>
        </is>
      </c>
      <c r="B7" s="2" t="n">
        <v>339210</v>
      </c>
      <c r="C7" s="2" t="n">
        <v/>
      </c>
      <c r="D7" s="2" t="n">
        <v/>
      </c>
      <c r="E7" s="2" t="n">
        <v/>
      </c>
      <c r="F7" s="2" t="inlineStr">
        <is>
          <t>✘未達成</t>
        </is>
      </c>
    </row>
    <row r="8">
      <c r="A8" s="2" t="inlineStr">
        <is>
          <t>張 冠宇</t>
        </is>
      </c>
      <c r="B8" s="2" t="n">
        <v>40908</v>
      </c>
      <c r="C8" s="2" t="n">
        <v/>
      </c>
      <c r="D8" s="2" t="n">
        <v/>
      </c>
      <c r="E8" s="2" t="n">
        <v/>
      </c>
      <c r="F8" s="2" t="inlineStr">
        <is>
          <t>✘未達成</t>
        </is>
      </c>
    </row>
    <row r="9">
      <c r="A9" s="2" t="inlineStr">
        <is>
          <t>張冠宇</t>
        </is>
      </c>
      <c r="B9" s="2" t="n">
        <v>491192</v>
      </c>
      <c r="C9" s="2" t="n">
        <v/>
      </c>
      <c r="D9" s="2" t="n">
        <v/>
      </c>
      <c r="E9" s="2" t="n">
        <v/>
      </c>
      <c r="F9" s="2" t="inlineStr">
        <is>
          <t>✘未達成</t>
        </is>
      </c>
    </row>
    <row r="10">
      <c r="A10" s="2" t="inlineStr">
        <is>
          <t>徐靜宜</t>
        </is>
      </c>
      <c r="B10" s="2" t="n">
        <v>367710</v>
      </c>
      <c r="C10" s="2" t="n">
        <v/>
      </c>
      <c r="D10" s="2" t="n">
        <v/>
      </c>
      <c r="E10" s="2" t="n">
        <v/>
      </c>
      <c r="F10" s="2" t="inlineStr">
        <is>
          <t>✘未達成</t>
        </is>
      </c>
    </row>
    <row r="11">
      <c r="A11" s="2" t="inlineStr">
        <is>
          <t>曾雅雯</t>
        </is>
      </c>
      <c r="B11" s="2" t="n">
        <v>547161</v>
      </c>
      <c r="C11" s="2" t="n">
        <v/>
      </c>
      <c r="D11" s="2" t="n">
        <v/>
      </c>
      <c r="E11" s="2" t="n">
        <v/>
      </c>
      <c r="F11" s="2" t="inlineStr">
        <is>
          <t>✘未達成</t>
        </is>
      </c>
    </row>
    <row r="12">
      <c r="A12" s="2" t="inlineStr">
        <is>
          <t>李家豪</t>
        </is>
      </c>
      <c r="B12" s="2" t="n">
        <v>384071</v>
      </c>
      <c r="C12" s="2" t="n">
        <v/>
      </c>
      <c r="D12" s="2" t="n">
        <v/>
      </c>
      <c r="E12" s="2" t="n">
        <v/>
      </c>
      <c r="F12" s="2" t="inlineStr">
        <is>
          <t>✘未達成</t>
        </is>
      </c>
    </row>
    <row r="13">
      <c r="A13" s="2" t="inlineStr">
        <is>
          <t>林俊傑</t>
        </is>
      </c>
      <c r="B13" s="2" t="n">
        <v>407546</v>
      </c>
      <c r="C13" s="2" t="n">
        <v/>
      </c>
      <c r="D13" s="2" t="n">
        <v/>
      </c>
      <c r="E13" s="2" t="n">
        <v/>
      </c>
      <c r="F13" s="2" t="inlineStr">
        <is>
          <t>✘未達成</t>
        </is>
      </c>
    </row>
    <row r="14">
      <c r="A14" s="2" t="inlineStr">
        <is>
          <t>楊淑惠</t>
        </is>
      </c>
      <c r="B14" s="2" t="n">
        <v>358947</v>
      </c>
      <c r="C14" s="2" t="n">
        <v/>
      </c>
      <c r="D14" s="2" t="n">
        <v/>
      </c>
      <c r="E14" s="2" t="n">
        <v/>
      </c>
      <c r="F14" s="2" t="inlineStr">
        <is>
          <t>✘未達成</t>
        </is>
      </c>
    </row>
    <row r="15">
      <c r="A15" s="2" t="inlineStr">
        <is>
          <t>江承恩</t>
        </is>
      </c>
      <c r="B15" s="2" t="n">
        <v>334792</v>
      </c>
      <c r="C15" s="2" t="n">
        <v/>
      </c>
      <c r="D15" s="2" t="n">
        <v/>
      </c>
      <c r="E15" s="2" t="n">
        <v/>
      </c>
      <c r="F15" s="2" t="inlineStr">
        <is>
          <t>✘未達成</t>
        </is>
      </c>
    </row>
    <row r="16">
      <c r="A16" s="2" t="inlineStr">
        <is>
          <t>洪欣怡</t>
        </is>
      </c>
      <c r="B16" s="2" t="n">
        <v>442073</v>
      </c>
      <c r="C16" s="2" t="n">
        <v/>
      </c>
      <c r="D16" s="2" t="n">
        <v/>
      </c>
      <c r="E16" s="2" t="n">
        <v/>
      </c>
      <c r="F16" s="2" t="inlineStr">
        <is>
          <t>✘未達成</t>
        </is>
      </c>
    </row>
    <row r="17">
      <c r="A17" s="2" t="inlineStr">
        <is>
          <t>王 信宏</t>
        </is>
      </c>
      <c r="B17" s="2" t="n">
        <v>19701</v>
      </c>
      <c r="C17" s="2" t="n">
        <v/>
      </c>
      <c r="D17" s="2" t="n">
        <v/>
      </c>
      <c r="E17" s="2" t="n">
        <v/>
      </c>
      <c r="F17" s="2" t="inlineStr">
        <is>
          <t>✘未達成</t>
        </is>
      </c>
    </row>
    <row r="18">
      <c r="A18" s="2" t="inlineStr">
        <is>
          <t>王信宏</t>
        </is>
      </c>
      <c r="B18" s="2" t="n">
        <v>495680</v>
      </c>
      <c r="C18" s="2" t="n">
        <v/>
      </c>
      <c r="D18" s="2" t="n">
        <v/>
      </c>
      <c r="E18" s="2" t="n">
        <v/>
      </c>
      <c r="F18" s="2" t="inlineStr">
        <is>
          <t>✘未達成</t>
        </is>
      </c>
    </row>
    <row r="19">
      <c r="A19" s="2" t="inlineStr">
        <is>
          <t>羅柏均</t>
        </is>
      </c>
      <c r="B19" s="2" t="n">
        <v>512907</v>
      </c>
      <c r="C19" s="2" t="n">
        <v/>
      </c>
      <c r="D19" s="2" t="n">
        <v/>
      </c>
      <c r="E19" s="2" t="n">
        <v/>
      </c>
      <c r="F19" s="2" t="inlineStr">
        <is>
          <t>✘未達成</t>
        </is>
      </c>
    </row>
    <row r="20">
      <c r="A20" s="2" t="inlineStr">
        <is>
          <t>莊惠美</t>
        </is>
      </c>
      <c r="B20" s="2" t="n">
        <v>354083</v>
      </c>
      <c r="C20" s="2" t="n">
        <v/>
      </c>
      <c r="D20" s="2" t="n">
        <v/>
      </c>
      <c r="E20" s="2" t="n">
        <v/>
      </c>
      <c r="F20" s="2" t="inlineStr">
        <is>
          <t>✘未達成</t>
        </is>
      </c>
    </row>
    <row r="21">
      <c r="A21" s="2" t="inlineStr">
        <is>
          <t>葉慧君</t>
        </is>
      </c>
      <c r="B21" s="2" t="n">
        <v>555745</v>
      </c>
      <c r="C21" s="2" t="n">
        <v/>
      </c>
      <c r="D21" s="2" t="n">
        <v/>
      </c>
      <c r="E21" s="2" t="n">
        <v/>
      </c>
      <c r="F21" s="2" t="inlineStr">
        <is>
          <t>✘未達成</t>
        </is>
      </c>
    </row>
    <row r="22">
      <c r="A22" s="2" t="inlineStr">
        <is>
          <t>蔡淑芬</t>
        </is>
      </c>
      <c r="B22" s="2" t="n">
        <v>609268</v>
      </c>
      <c r="C22" s="2" t="n">
        <v/>
      </c>
      <c r="D22" s="2" t="n">
        <v/>
      </c>
      <c r="E22" s="2" t="n">
        <v/>
      </c>
      <c r="F22" s="2" t="inlineStr">
        <is>
          <t>✘未達成</t>
        </is>
      </c>
    </row>
    <row r="23">
      <c r="A23" s="2" t="inlineStr">
        <is>
          <t>蕭 宥翔</t>
        </is>
      </c>
      <c r="B23" s="2" t="n">
        <v>16446</v>
      </c>
      <c r="C23" s="2" t="n">
        <v/>
      </c>
      <c r="D23" s="2" t="n">
        <v/>
      </c>
      <c r="E23" s="2" t="n">
        <v/>
      </c>
      <c r="F23" s="2" t="inlineStr">
        <is>
          <t>✘未達成</t>
        </is>
      </c>
    </row>
    <row r="24">
      <c r="A24" s="2" t="inlineStr">
        <is>
          <t>蕭宥翔</t>
        </is>
      </c>
      <c r="B24" s="2" t="n">
        <v>321155</v>
      </c>
      <c r="C24" s="2" t="n">
        <v/>
      </c>
      <c r="D24" s="2" t="n">
        <v/>
      </c>
      <c r="E24" s="2" t="n">
        <v/>
      </c>
      <c r="F24" s="2" t="inlineStr">
        <is>
          <t>✘未達成</t>
        </is>
      </c>
    </row>
    <row r="25">
      <c r="A25" s="2" t="inlineStr">
        <is>
          <t>蘇雅芳</t>
        </is>
      </c>
      <c r="B25" s="2" t="n">
        <v>439366</v>
      </c>
      <c r="C25" s="2" t="n">
        <v/>
      </c>
      <c r="D25" s="2" t="n">
        <v/>
      </c>
      <c r="E25" s="2" t="n">
        <v/>
      </c>
      <c r="F25" s="2" t="inlineStr">
        <is>
          <t>✘未達成</t>
        </is>
      </c>
    </row>
    <row r="26">
      <c r="A26" s="2" t="inlineStr">
        <is>
          <t>許美玲</t>
        </is>
      </c>
      <c r="B26" s="2" t="n">
        <v>393398</v>
      </c>
      <c r="C26" s="2" t="n">
        <v/>
      </c>
      <c r="D26" s="2" t="n">
        <v/>
      </c>
      <c r="E26" s="2" t="n">
        <v/>
      </c>
      <c r="F26" s="2" t="inlineStr">
        <is>
          <t>✘未達成</t>
        </is>
      </c>
    </row>
    <row r="27">
      <c r="A27" s="2" t="inlineStr">
        <is>
          <t>謝怡君</t>
        </is>
      </c>
      <c r="B27" s="2" t="n">
        <v>375071</v>
      </c>
      <c r="C27" s="2" t="n">
        <v/>
      </c>
      <c r="D27" s="2" t="n">
        <v/>
      </c>
      <c r="E27" s="2" t="n">
        <v/>
      </c>
      <c r="F27" s="2" t="inlineStr">
        <is>
          <t>✘未達成</t>
        </is>
      </c>
    </row>
    <row r="28">
      <c r="A28" s="2" t="inlineStr">
        <is>
          <t>賴佩君</t>
        </is>
      </c>
      <c r="B28" s="2" t="n">
        <v>522488</v>
      </c>
      <c r="C28" s="2" t="n">
        <v/>
      </c>
      <c r="D28" s="2" t="n">
        <v/>
      </c>
      <c r="E28" s="2" t="n">
        <v/>
      </c>
      <c r="F28" s="2" t="inlineStr">
        <is>
          <t>✘未達成</t>
        </is>
      </c>
    </row>
    <row r="29">
      <c r="A29" s="2" t="inlineStr">
        <is>
          <t>趙彥廷</t>
        </is>
      </c>
      <c r="B29" s="2" t="n">
        <v>614310</v>
      </c>
      <c r="C29" s="2" t="n">
        <v/>
      </c>
      <c r="D29" s="2" t="n">
        <v/>
      </c>
      <c r="E29" s="2" t="n">
        <v/>
      </c>
      <c r="F29" s="2" t="inlineStr">
        <is>
          <t>✘未達成</t>
        </is>
      </c>
    </row>
    <row r="30">
      <c r="A30" s="2" t="inlineStr">
        <is>
          <t>邱宜臻</t>
        </is>
      </c>
      <c r="B30" s="2" t="n">
        <v>525111</v>
      </c>
      <c r="C30" s="2" t="n">
        <v/>
      </c>
      <c r="D30" s="2" t="n">
        <v/>
      </c>
      <c r="E30" s="2" t="n">
        <v/>
      </c>
      <c r="F30" s="2" t="inlineStr">
        <is>
          <t>✘未達成</t>
        </is>
      </c>
    </row>
    <row r="31">
      <c r="A31" s="2" t="inlineStr">
        <is>
          <t>郭佳穎</t>
        </is>
      </c>
      <c r="B31" s="2" t="n">
        <v>477630</v>
      </c>
      <c r="C31" s="2" t="n">
        <v/>
      </c>
      <c r="D31" s="2" t="n">
        <v/>
      </c>
      <c r="E31" s="2" t="n">
        <v/>
      </c>
      <c r="F31" s="2" t="inlineStr">
        <is>
          <t>✘未達成</t>
        </is>
      </c>
    </row>
    <row r="32">
      <c r="A32" s="2" t="inlineStr">
        <is>
          <t>鄭雅婷</t>
        </is>
      </c>
      <c r="B32" s="2" t="n">
        <v>449476</v>
      </c>
      <c r="C32" s="2" t="n">
        <v/>
      </c>
      <c r="D32" s="2" t="n">
        <v/>
      </c>
      <c r="E32" s="2" t="n">
        <v/>
      </c>
      <c r="F32" s="2" t="inlineStr">
        <is>
          <t>✘未達成</t>
        </is>
      </c>
    </row>
    <row r="33">
      <c r="A33" s="2" t="inlineStr">
        <is>
          <t>陳志明</t>
        </is>
      </c>
      <c r="B33" s="2" t="n">
        <v>586282</v>
      </c>
      <c r="C33" s="2" t="n">
        <v/>
      </c>
      <c r="D33" s="2" t="n">
        <v/>
      </c>
      <c r="E33" s="2" t="n">
        <v/>
      </c>
      <c r="F33" s="2" t="inlineStr">
        <is>
          <t>✘未達成</t>
        </is>
      </c>
    </row>
    <row r="34">
      <c r="A34" s="2" t="inlineStr">
        <is>
          <t>黃建宏</t>
        </is>
      </c>
      <c r="B34" s="2" t="n">
        <v>600034</v>
      </c>
      <c r="C34" s="2" t="n">
        <v/>
      </c>
      <c r="D34" s="2" t="n">
        <v/>
      </c>
      <c r="E34" s="2" t="n">
        <v/>
      </c>
      <c r="F34" s="2" t="inlineStr">
        <is>
          <t>✘未達成</t>
        </is>
      </c>
    </row>
  </sheetData>
  <conditionalFormatting sqref="E2:E34">
    <cfRule type="cellIs" priority="1" operator="greaterThanOrEqual" dxfId="0">
      <formula>100</formula>
    </cfRule>
    <cfRule type="cellIs" priority="2" operator="between" dxfId="1">
      <formula>80</formula>
      <formula>99.99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部門</t>
        </is>
      </c>
      <c r="B1" s="1" t="inlineStr">
        <is>
          <t>實際銷售額</t>
        </is>
      </c>
      <c r="C1" s="1" t="inlineStr">
        <is>
          <t>預算目標</t>
        </is>
      </c>
      <c r="D1" s="1" t="inlineStr">
        <is>
          <t>達成率%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2026-03-13T02:42:26Z</dcterms:created>
  <dcterms:modified xsi:type="dcterms:W3CDTF">2026-03-13T02:42:26Z</dcterms:modified>
</cp:coreProperties>
</file>