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銷售趨勢" sheetId="1" state="visible" r:id="rId1"/>
    <sheet name="部門銷售樞紐" sheetId="2" state="visible" r:id="rId2"/>
    <sheet name="業務員排名" sheetId="3" state="visible" r:id="rId3"/>
    <sheet name="產品類別分布" sheetId="4" state="visible" r:id="rId4"/>
    <sheet name="客戶區域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月度銷售總額趨勢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'月度銷售趨勢'!C1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'月度銷售趨勢'!$A$2:$A$13</f>
            </numRef>
          </cat>
          <val>
            <numRef>
              <f>'月度銷售趨勢'!$C$2:$C$13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月度訂單數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'月度銷售趨勢'!B1</f>
            </strRef>
          </tx>
          <spPr>
            <a:ln>
              <a:prstDash val="solid"/>
            </a:ln>
          </spPr>
          <cat>
            <numRef>
              <f>'月度銷售趨勢'!$A$2:$A$13</f>
            </numRef>
          </cat>
          <val>
            <numRef>
              <f>'月度銷售趨勢'!$B$2:$B$13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產品類別銷售佔比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'產品類別分布'!$A$2:$A$7</f>
            </numRef>
          </cat>
          <val>
            <numRef>
              <f>'產品類別分布'!$C$2:$C$7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月份</t>
        </is>
      </c>
      <c r="B1" s="1" t="inlineStr">
        <is>
          <t>訂單數</t>
        </is>
      </c>
      <c r="C1" s="1" t="inlineStr">
        <is>
          <t>銷售總額</t>
        </is>
      </c>
      <c r="D1" s="1" t="inlineStr">
        <is>
          <t>平均客單價</t>
        </is>
      </c>
      <c r="E1" s="1" t="inlineStr">
        <is>
          <t>月成長率%</t>
        </is>
      </c>
    </row>
    <row r="2">
      <c r="A2" s="2" t="inlineStr">
        <is>
          <t>2024-01</t>
        </is>
      </c>
      <c r="B2" s="2" t="n">
        <v>62</v>
      </c>
      <c r="C2" s="2" t="n">
        <v>1245805</v>
      </c>
      <c r="D2" s="2" t="n">
        <v>20093.63</v>
      </c>
      <c r="E2" s="2" t="n">
        <v>0</v>
      </c>
    </row>
    <row r="3">
      <c r="A3" s="2" t="inlineStr">
        <is>
          <t>2024-02</t>
        </is>
      </c>
      <c r="B3" s="2" t="n">
        <v>59</v>
      </c>
      <c r="C3" s="2" t="n">
        <v>1078666</v>
      </c>
      <c r="D3" s="2" t="n">
        <v>18282.47</v>
      </c>
      <c r="E3" s="2" t="n">
        <v>-13.42</v>
      </c>
    </row>
    <row r="4">
      <c r="A4" s="2" t="inlineStr">
        <is>
          <t>2024-03</t>
        </is>
      </c>
      <c r="B4" s="2" t="n">
        <v>54</v>
      </c>
      <c r="C4" s="2" t="n">
        <v>997443</v>
      </c>
      <c r="D4" s="2" t="n">
        <v>18471.17</v>
      </c>
      <c r="E4" s="2" t="n">
        <v>-7.53</v>
      </c>
    </row>
    <row r="5">
      <c r="A5" s="2" t="inlineStr">
        <is>
          <t>2024-04</t>
        </is>
      </c>
      <c r="B5" s="2" t="n">
        <v>51</v>
      </c>
      <c r="C5" s="2" t="n">
        <v>963646</v>
      </c>
      <c r="D5" s="2" t="n">
        <v>18895.02</v>
      </c>
      <c r="E5" s="2" t="n">
        <v>-3.39</v>
      </c>
    </row>
    <row r="6">
      <c r="A6" s="2" t="inlineStr">
        <is>
          <t>2024-05</t>
        </is>
      </c>
      <c r="B6" s="2" t="n">
        <v>64</v>
      </c>
      <c r="C6" s="2" t="n">
        <v>1063890</v>
      </c>
      <c r="D6" s="2" t="n">
        <v>16623.28</v>
      </c>
      <c r="E6" s="2" t="n">
        <v>10.4</v>
      </c>
    </row>
    <row r="7">
      <c r="A7" s="2" t="inlineStr">
        <is>
          <t>2024-06</t>
        </is>
      </c>
      <c r="B7" s="2" t="n">
        <v>62</v>
      </c>
      <c r="C7" s="2" t="n">
        <v>1331436</v>
      </c>
      <c r="D7" s="2" t="n">
        <v>21474.77</v>
      </c>
      <c r="E7" s="2" t="n">
        <v>25.15</v>
      </c>
    </row>
    <row r="8">
      <c r="A8" s="2" t="inlineStr">
        <is>
          <t>2024-07</t>
        </is>
      </c>
      <c r="B8" s="2" t="n">
        <v>61</v>
      </c>
      <c r="C8" s="2" t="n">
        <v>1156278</v>
      </c>
      <c r="D8" s="2" t="n">
        <v>18955.38</v>
      </c>
      <c r="E8" s="2" t="n">
        <v>-13.16</v>
      </c>
    </row>
    <row r="9">
      <c r="A9" s="2" t="inlineStr">
        <is>
          <t>2024-08</t>
        </is>
      </c>
      <c r="B9" s="2" t="n">
        <v>64</v>
      </c>
      <c r="C9" s="2" t="n">
        <v>1086551</v>
      </c>
      <c r="D9" s="2" t="n">
        <v>16977.36</v>
      </c>
      <c r="E9" s="2" t="n">
        <v>-6.03</v>
      </c>
    </row>
    <row r="10">
      <c r="A10" s="2" t="inlineStr">
        <is>
          <t>2024-09</t>
        </is>
      </c>
      <c r="B10" s="2" t="n">
        <v>63</v>
      </c>
      <c r="C10" s="2" t="n">
        <v>1308631</v>
      </c>
      <c r="D10" s="2" t="n">
        <v>20771.92</v>
      </c>
      <c r="E10" s="2" t="n">
        <v>20.44</v>
      </c>
    </row>
    <row r="11">
      <c r="A11" s="2" t="inlineStr">
        <is>
          <t>2024-10</t>
        </is>
      </c>
      <c r="B11" s="2" t="n">
        <v>55</v>
      </c>
      <c r="C11" s="2" t="n">
        <v>970032</v>
      </c>
      <c r="D11" s="2" t="n">
        <v>17636.95</v>
      </c>
      <c r="E11" s="2" t="n">
        <v>-25.87</v>
      </c>
    </row>
    <row r="12">
      <c r="A12" s="2" t="inlineStr">
        <is>
          <t>2024-11</t>
        </is>
      </c>
      <c r="B12" s="2" t="n">
        <v>67</v>
      </c>
      <c r="C12" s="2" t="n">
        <v>1594186</v>
      </c>
      <c r="D12" s="2" t="n">
        <v>23793.82</v>
      </c>
      <c r="E12" s="2" t="n">
        <v>64.34</v>
      </c>
    </row>
    <row r="13">
      <c r="A13" s="2" t="inlineStr">
        <is>
          <t>2024-12</t>
        </is>
      </c>
      <c r="B13" s="2" t="n">
        <v>61</v>
      </c>
      <c r="C13" s="2" t="n">
        <v>1173230</v>
      </c>
      <c r="D13" s="2" t="n">
        <v>19233.28</v>
      </c>
      <c r="E13" s="2" t="n">
        <v>-26.41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部門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年度合計</t>
        </is>
      </c>
    </row>
    <row r="2">
      <c r="A2" s="2" t="inlineStr">
        <is>
          <t>中區業務部</t>
        </is>
      </c>
      <c r="B2" s="2" t="n">
        <v>284441</v>
      </c>
      <c r="C2" s="2" t="n">
        <v>361793</v>
      </c>
      <c r="D2" s="2" t="n">
        <v>244966</v>
      </c>
      <c r="E2" s="2" t="n">
        <v>208969</v>
      </c>
      <c r="F2" s="2" t="n">
        <v>177277</v>
      </c>
      <c r="G2" s="2" t="n">
        <v>215410</v>
      </c>
      <c r="H2" s="2" t="n">
        <v>281179</v>
      </c>
      <c r="I2" s="2" t="n">
        <v>196405</v>
      </c>
      <c r="J2" s="2" t="n">
        <v>200903</v>
      </c>
      <c r="K2" s="2" t="n">
        <v>224982</v>
      </c>
      <c r="L2" s="2" t="n">
        <v>370440</v>
      </c>
      <c r="M2" s="2" t="n">
        <v>278327</v>
      </c>
      <c r="N2" s="2" t="n">
        <v>3045092</v>
      </c>
    </row>
    <row r="3">
      <c r="A3" s="2" t="inlineStr">
        <is>
          <t>北區業務部</t>
        </is>
      </c>
      <c r="B3" s="2" t="n">
        <v>128293</v>
      </c>
      <c r="C3" s="2" t="n">
        <v>162387</v>
      </c>
      <c r="D3" s="2" t="n">
        <v>207891</v>
      </c>
      <c r="E3" s="2" t="n">
        <v>136778</v>
      </c>
      <c r="F3" s="2" t="n">
        <v>217848</v>
      </c>
      <c r="G3" s="2" t="n">
        <v>262746</v>
      </c>
      <c r="H3" s="2" t="n">
        <v>287870</v>
      </c>
      <c r="I3" s="2" t="n">
        <v>202940</v>
      </c>
      <c r="J3" s="2" t="n">
        <v>223991</v>
      </c>
      <c r="K3" s="2" t="n">
        <v>301363</v>
      </c>
      <c r="L3" s="2" t="n">
        <v>378461</v>
      </c>
      <c r="M3" s="2" t="n">
        <v>162424</v>
      </c>
      <c r="N3" s="2" t="n">
        <v>2672992</v>
      </c>
    </row>
    <row r="4">
      <c r="A4" s="2" t="inlineStr">
        <is>
          <t>南區業務部</t>
        </is>
      </c>
      <c r="B4" s="2" t="n">
        <v>281695</v>
      </c>
      <c r="C4" s="2" t="n">
        <v>231046</v>
      </c>
      <c r="D4" s="2" t="n">
        <v>108371</v>
      </c>
      <c r="E4" s="2" t="n">
        <v>104731</v>
      </c>
      <c r="F4" s="2" t="n">
        <v>148516</v>
      </c>
      <c r="G4" s="2" t="n">
        <v>239981</v>
      </c>
      <c r="H4" s="2" t="n">
        <v>116459</v>
      </c>
      <c r="I4" s="2" t="n">
        <v>174091</v>
      </c>
      <c r="J4" s="2" t="n">
        <v>356911</v>
      </c>
      <c r="K4" s="2" t="n">
        <v>172148</v>
      </c>
      <c r="L4" s="2" t="n">
        <v>285776</v>
      </c>
      <c r="M4" s="2" t="n">
        <v>332540</v>
      </c>
      <c r="N4" s="2" t="n">
        <v>2552265</v>
      </c>
    </row>
    <row r="5">
      <c r="A5" s="2" t="inlineStr">
        <is>
          <t>海外業務部</t>
        </is>
      </c>
      <c r="B5" s="2" t="n">
        <v>418174</v>
      </c>
      <c r="C5" s="2" t="n">
        <v>199153</v>
      </c>
      <c r="D5" s="2" t="n">
        <v>116759</v>
      </c>
      <c r="E5" s="2" t="n">
        <v>217143</v>
      </c>
      <c r="F5" s="2" t="n">
        <v>262377</v>
      </c>
      <c r="G5" s="2" t="n">
        <v>378910</v>
      </c>
      <c r="H5" s="2" t="n">
        <v>261351</v>
      </c>
      <c r="I5" s="2" t="n">
        <v>294584</v>
      </c>
      <c r="J5" s="2" t="n">
        <v>268430</v>
      </c>
      <c r="K5" s="2" t="n">
        <v>85508</v>
      </c>
      <c r="L5" s="2" t="n">
        <v>306201</v>
      </c>
      <c r="M5" s="2" t="n">
        <v>199886</v>
      </c>
      <c r="N5" s="2" t="n">
        <v>3008476</v>
      </c>
    </row>
    <row r="6">
      <c r="A6" s="2" t="inlineStr">
        <is>
          <t>電商部</t>
        </is>
      </c>
      <c r="B6" s="2" t="n">
        <v>133202</v>
      </c>
      <c r="C6" s="2" t="n">
        <v>124287</v>
      </c>
      <c r="D6" s="2" t="n">
        <v>319456</v>
      </c>
      <c r="E6" s="2" t="n">
        <v>296025</v>
      </c>
      <c r="F6" s="2" t="n">
        <v>257872</v>
      </c>
      <c r="G6" s="2" t="n">
        <v>234389</v>
      </c>
      <c r="H6" s="2" t="n">
        <v>209419</v>
      </c>
      <c r="I6" s="2" t="n">
        <v>218531</v>
      </c>
      <c r="J6" s="2" t="n">
        <v>258396</v>
      </c>
      <c r="K6" s="2" t="n">
        <v>186031</v>
      </c>
      <c r="L6" s="2" t="n">
        <v>253308</v>
      </c>
      <c r="M6" s="2" t="n">
        <v>200053</v>
      </c>
      <c r="N6" s="2" t="n">
        <v>2690969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排名</t>
        </is>
      </c>
      <c r="B1" s="1" t="inlineStr">
        <is>
          <t>業務員</t>
        </is>
      </c>
      <c r="C1" s="1" t="inlineStr">
        <is>
          <t>部門</t>
        </is>
      </c>
      <c r="D1" s="1" t="inlineStr">
        <is>
          <t>訂單數</t>
        </is>
      </c>
      <c r="E1" s="1" t="inlineStr">
        <is>
          <t>銷售總額</t>
        </is>
      </c>
      <c r="F1" s="1" t="inlineStr">
        <is>
          <t>平均每單金額</t>
        </is>
      </c>
    </row>
    <row r="2">
      <c r="A2" s="3" t="n">
        <v>1</v>
      </c>
      <c r="B2" s="3" t="inlineStr">
        <is>
          <t>趙彥廷</t>
        </is>
      </c>
      <c r="C2" s="3" t="inlineStr">
        <is>
          <t>電商部</t>
        </is>
      </c>
      <c r="D2" s="3" t="n">
        <v>26</v>
      </c>
      <c r="E2" s="3" t="n">
        <v>614310</v>
      </c>
      <c r="F2" s="3" t="n">
        <v>23627.31</v>
      </c>
    </row>
    <row r="3">
      <c r="A3" s="3" t="n">
        <v>2</v>
      </c>
      <c r="B3" s="3" t="inlineStr">
        <is>
          <t>蔡淑芬</t>
        </is>
      </c>
      <c r="C3" s="3" t="inlineStr">
        <is>
          <t>海外業務部</t>
        </is>
      </c>
      <c r="D3" s="3" t="n">
        <v>23</v>
      </c>
      <c r="E3" s="3" t="n">
        <v>609268</v>
      </c>
      <c r="F3" s="3" t="n">
        <v>26489.91</v>
      </c>
    </row>
    <row r="4">
      <c r="A4" s="3" t="n">
        <v>3</v>
      </c>
      <c r="B4" s="3" t="inlineStr">
        <is>
          <t>黃建宏</t>
        </is>
      </c>
      <c r="C4" s="3" t="inlineStr">
        <is>
          <t>南區業務部</t>
        </is>
      </c>
      <c r="D4" s="3" t="n">
        <v>24</v>
      </c>
      <c r="E4" s="3" t="n">
        <v>600034</v>
      </c>
      <c r="F4" s="3" t="n">
        <v>25001.42</v>
      </c>
    </row>
    <row r="5">
      <c r="A5" s="2" t="n">
        <v>4</v>
      </c>
      <c r="B5" s="2" t="inlineStr">
        <is>
          <t>陳志明</t>
        </is>
      </c>
      <c r="C5" s="2" t="inlineStr">
        <is>
          <t>北區業務部</t>
        </is>
      </c>
      <c r="D5" s="2" t="n">
        <v>26</v>
      </c>
      <c r="E5" s="2" t="n">
        <v>586282</v>
      </c>
      <c r="F5" s="2" t="n">
        <v>22549.31</v>
      </c>
    </row>
    <row r="6">
      <c r="A6" s="2" t="n">
        <v>5</v>
      </c>
      <c r="B6" s="2" t="inlineStr">
        <is>
          <t>吳柏翰</t>
        </is>
      </c>
      <c r="C6" s="2" t="inlineStr">
        <is>
          <t>中區業務部</t>
        </is>
      </c>
      <c r="D6" s="2" t="n">
        <v>23</v>
      </c>
      <c r="E6" s="2" t="n">
        <v>584522</v>
      </c>
      <c r="F6" s="2" t="n">
        <v>25414</v>
      </c>
    </row>
    <row r="7">
      <c r="A7" s="2" t="n">
        <v>6</v>
      </c>
      <c r="B7" s="2" t="inlineStr">
        <is>
          <t>葉慧君</t>
        </is>
      </c>
      <c r="C7" s="2" t="inlineStr">
        <is>
          <t>中區業務部</t>
        </is>
      </c>
      <c r="D7" s="2" t="n">
        <v>23</v>
      </c>
      <c r="E7" s="2" t="n">
        <v>555745</v>
      </c>
      <c r="F7" s="2" t="n">
        <v>24162.83</v>
      </c>
    </row>
    <row r="8">
      <c r="A8" s="2" t="n">
        <v>7</v>
      </c>
      <c r="B8" s="2" t="inlineStr">
        <is>
          <t>曾雅雯</t>
        </is>
      </c>
      <c r="C8" s="2" t="inlineStr">
        <is>
          <t>北區業務部</t>
        </is>
      </c>
      <c r="D8" s="2" t="n">
        <v>27</v>
      </c>
      <c r="E8" s="2" t="n">
        <v>547161</v>
      </c>
      <c r="F8" s="2" t="n">
        <v>20265.22</v>
      </c>
    </row>
    <row r="9">
      <c r="A9" s="2" t="n">
        <v>8</v>
      </c>
      <c r="B9" s="2" t="inlineStr">
        <is>
          <t>邱宜臻</t>
        </is>
      </c>
      <c r="C9" s="2" t="inlineStr">
        <is>
          <t>中區業務部</t>
        </is>
      </c>
      <c r="D9" s="2" t="n">
        <v>20</v>
      </c>
      <c r="E9" s="2" t="n">
        <v>525111</v>
      </c>
      <c r="F9" s="2" t="n">
        <v>26255.55</v>
      </c>
    </row>
    <row r="10">
      <c r="A10" s="2" t="n">
        <v>9</v>
      </c>
      <c r="B10" s="2" t="inlineStr">
        <is>
          <t>呂明哲</t>
        </is>
      </c>
      <c r="C10" s="2" t="inlineStr">
        <is>
          <t>電商部</t>
        </is>
      </c>
      <c r="D10" s="2" t="n">
        <v>20</v>
      </c>
      <c r="E10" s="2" t="n">
        <v>523858</v>
      </c>
      <c r="F10" s="2" t="n">
        <v>26192.9</v>
      </c>
    </row>
    <row r="11">
      <c r="A11" s="2" t="n">
        <v>10</v>
      </c>
      <c r="B11" s="2" t="inlineStr">
        <is>
          <t>何品睿</t>
        </is>
      </c>
      <c r="C11" s="2" t="inlineStr">
        <is>
          <t>中區業務部</t>
        </is>
      </c>
      <c r="D11" s="2" t="n">
        <v>25</v>
      </c>
      <c r="E11" s="2" t="n">
        <v>522692</v>
      </c>
      <c r="F11" s="2" t="n">
        <v>20907.68</v>
      </c>
    </row>
    <row r="12">
      <c r="A12" s="2" t="n">
        <v>11</v>
      </c>
      <c r="B12" s="2" t="inlineStr">
        <is>
          <t>賴佩君</t>
        </is>
      </c>
      <c r="C12" s="2" t="inlineStr">
        <is>
          <t>海外業務部</t>
        </is>
      </c>
      <c r="D12" s="2" t="n">
        <v>25</v>
      </c>
      <c r="E12" s="2" t="n">
        <v>522488</v>
      </c>
      <c r="F12" s="2" t="n">
        <v>20899.52</v>
      </c>
    </row>
    <row r="13">
      <c r="A13" s="2" t="n">
        <v>12</v>
      </c>
      <c r="B13" s="2" t="inlineStr">
        <is>
          <t>羅柏均</t>
        </is>
      </c>
      <c r="C13" s="2" t="inlineStr">
        <is>
          <t>海外業務部</t>
        </is>
      </c>
      <c r="D13" s="2" t="n">
        <v>27</v>
      </c>
      <c r="E13" s="2" t="n">
        <v>512907</v>
      </c>
      <c r="F13" s="2" t="n">
        <v>18996.56</v>
      </c>
    </row>
    <row r="14">
      <c r="A14" s="2" t="n">
        <v>13</v>
      </c>
      <c r="B14" s="2" t="inlineStr">
        <is>
          <t>王信宏</t>
        </is>
      </c>
      <c r="C14" s="2" t="inlineStr">
        <is>
          <t>北區業務部</t>
        </is>
      </c>
      <c r="D14" s="2" t="n">
        <v>31</v>
      </c>
      <c r="E14" s="2" t="n">
        <v>495680</v>
      </c>
      <c r="F14" s="2" t="n">
        <v>15989.68</v>
      </c>
    </row>
    <row r="15">
      <c r="A15" s="2" t="n">
        <v>14</v>
      </c>
      <c r="B15" s="2" t="inlineStr">
        <is>
          <t>張冠宇</t>
        </is>
      </c>
      <c r="C15" s="2" t="inlineStr">
        <is>
          <t>海外業務部</t>
        </is>
      </c>
      <c r="D15" s="2" t="n">
        <v>24</v>
      </c>
      <c r="E15" s="2" t="n">
        <v>491192</v>
      </c>
      <c r="F15" s="2" t="n">
        <v>20466.33</v>
      </c>
    </row>
    <row r="16">
      <c r="A16" s="2" t="n">
        <v>15</v>
      </c>
      <c r="B16" s="2" t="inlineStr">
        <is>
          <t>郭佳穎</t>
        </is>
      </c>
      <c r="C16" s="2" t="inlineStr">
        <is>
          <t>海外業務部</t>
        </is>
      </c>
      <c r="D16" s="2" t="n">
        <v>29</v>
      </c>
      <c r="E16" s="2" t="n">
        <v>477630</v>
      </c>
      <c r="F16" s="2" t="n">
        <v>16470</v>
      </c>
    </row>
    <row r="17">
      <c r="A17" s="2" t="n">
        <v>16</v>
      </c>
      <c r="B17" s="2" t="inlineStr">
        <is>
          <t>劉宗翰</t>
        </is>
      </c>
      <c r="C17" s="2" t="inlineStr">
        <is>
          <t>南區業務部</t>
        </is>
      </c>
      <c r="D17" s="2" t="n">
        <v>25</v>
      </c>
      <c r="E17" s="2" t="n">
        <v>460983</v>
      </c>
      <c r="F17" s="2" t="n">
        <v>18439.32</v>
      </c>
    </row>
    <row r="18">
      <c r="A18" s="2" t="n">
        <v>17</v>
      </c>
      <c r="B18" s="2" t="inlineStr">
        <is>
          <t>鄭雅婷</t>
        </is>
      </c>
      <c r="C18" s="2" t="inlineStr">
        <is>
          <t>中區業務部</t>
        </is>
      </c>
      <c r="D18" s="2" t="n">
        <v>25</v>
      </c>
      <c r="E18" s="2" t="n">
        <v>449476</v>
      </c>
      <c r="F18" s="2" t="n">
        <v>17979.04</v>
      </c>
    </row>
    <row r="19">
      <c r="A19" s="2" t="n">
        <v>18</v>
      </c>
      <c r="B19" s="2" t="inlineStr">
        <is>
          <t>洪欣怡</t>
        </is>
      </c>
      <c r="C19" s="2" t="inlineStr">
        <is>
          <t>電商部</t>
        </is>
      </c>
      <c r="D19" s="2" t="n">
        <v>28</v>
      </c>
      <c r="E19" s="2" t="n">
        <v>442073</v>
      </c>
      <c r="F19" s="2" t="n">
        <v>15788.32</v>
      </c>
    </row>
    <row r="20">
      <c r="A20" s="2" t="n">
        <v>19</v>
      </c>
      <c r="B20" s="2" t="inlineStr">
        <is>
          <t>蘇雅芳</t>
        </is>
      </c>
      <c r="C20" s="2" t="inlineStr">
        <is>
          <t>南區業務部</t>
        </is>
      </c>
      <c r="D20" s="2" t="n">
        <v>24</v>
      </c>
      <c r="E20" s="2" t="n">
        <v>439366</v>
      </c>
      <c r="F20" s="2" t="n">
        <v>18306.92</v>
      </c>
    </row>
    <row r="21">
      <c r="A21" s="2" t="n">
        <v>20</v>
      </c>
      <c r="B21" s="2" t="inlineStr">
        <is>
          <t>林俊傑</t>
        </is>
      </c>
      <c r="C21" s="2" t="inlineStr">
        <is>
          <t>中區業務部</t>
        </is>
      </c>
      <c r="D21" s="2" t="n">
        <v>21</v>
      </c>
      <c r="E21" s="2" t="n">
        <v>407546</v>
      </c>
      <c r="F21" s="2" t="n">
        <v>19406.95</v>
      </c>
    </row>
    <row r="22">
      <c r="A22" s="2" t="n">
        <v>21</v>
      </c>
      <c r="B22" s="2" t="inlineStr">
        <is>
          <t>許美玲</t>
        </is>
      </c>
      <c r="C22" s="2" t="inlineStr">
        <is>
          <t>北區業務部</t>
        </is>
      </c>
      <c r="D22" s="2" t="n">
        <v>22</v>
      </c>
      <c r="E22" s="2" t="n">
        <v>393398</v>
      </c>
      <c r="F22" s="2" t="n">
        <v>17881.73</v>
      </c>
    </row>
    <row r="23">
      <c r="A23" s="2" t="n">
        <v>22</v>
      </c>
      <c r="B23" s="2" t="inlineStr">
        <is>
          <t>李家豪</t>
        </is>
      </c>
      <c r="C23" s="2" t="inlineStr">
        <is>
          <t>電商部</t>
        </is>
      </c>
      <c r="D23" s="2" t="n">
        <v>27</v>
      </c>
      <c r="E23" s="2" t="n">
        <v>384071</v>
      </c>
      <c r="F23" s="2" t="n">
        <v>14224.85</v>
      </c>
    </row>
    <row r="24">
      <c r="A24" s="2" t="n">
        <v>23</v>
      </c>
      <c r="B24" s="2" t="inlineStr">
        <is>
          <t>謝怡君</t>
        </is>
      </c>
      <c r="C24" s="2" t="inlineStr">
        <is>
          <t>南區業務部</t>
        </is>
      </c>
      <c r="D24" s="2" t="n">
        <v>19</v>
      </c>
      <c r="E24" s="2" t="n">
        <v>375071</v>
      </c>
      <c r="F24" s="2" t="n">
        <v>19740.58</v>
      </c>
    </row>
    <row r="25">
      <c r="A25" s="2" t="n">
        <v>24</v>
      </c>
      <c r="B25" s="2" t="inlineStr">
        <is>
          <t>徐靜宜</t>
        </is>
      </c>
      <c r="C25" s="2" t="inlineStr">
        <is>
          <t>電商部</t>
        </is>
      </c>
      <c r="D25" s="2" t="n">
        <v>25</v>
      </c>
      <c r="E25" s="2" t="n">
        <v>367710</v>
      </c>
      <c r="F25" s="2" t="n">
        <v>14708.4</v>
      </c>
    </row>
    <row r="26">
      <c r="A26" s="2" t="n">
        <v>25</v>
      </c>
      <c r="B26" s="2" t="inlineStr">
        <is>
          <t>楊淑惠</t>
        </is>
      </c>
      <c r="C26" s="2" t="inlineStr">
        <is>
          <t>電商部</t>
        </is>
      </c>
      <c r="D26" s="2" t="n">
        <v>26</v>
      </c>
      <c r="E26" s="2" t="n">
        <v>358947</v>
      </c>
      <c r="F26" s="2" t="n">
        <v>13805.65</v>
      </c>
    </row>
    <row r="27">
      <c r="A27" s="2" t="n">
        <v>26</v>
      </c>
      <c r="B27" s="2" t="inlineStr">
        <is>
          <t>莊惠美</t>
        </is>
      </c>
      <c r="C27" s="2" t="inlineStr">
        <is>
          <t>海外業務部</t>
        </is>
      </c>
      <c r="D27" s="2" t="n">
        <v>21</v>
      </c>
      <c r="E27" s="2" t="n">
        <v>354083</v>
      </c>
      <c r="F27" s="2" t="n">
        <v>16861.1</v>
      </c>
    </row>
    <row r="28">
      <c r="A28" s="2" t="n">
        <v>27</v>
      </c>
      <c r="B28" s="2" t="inlineStr">
        <is>
          <t>廖心怡</t>
        </is>
      </c>
      <c r="C28" s="2" t="inlineStr">
        <is>
          <t>南區業務部</t>
        </is>
      </c>
      <c r="D28" s="2" t="n">
        <v>26</v>
      </c>
      <c r="E28" s="2" t="n">
        <v>339210</v>
      </c>
      <c r="F28" s="2" t="n">
        <v>13046.54</v>
      </c>
    </row>
    <row r="29">
      <c r="A29" s="2" t="n">
        <v>28</v>
      </c>
      <c r="B29" s="2" t="inlineStr">
        <is>
          <t>江承恩</t>
        </is>
      </c>
      <c r="C29" s="2" t="inlineStr">
        <is>
          <t>北區業務部</t>
        </is>
      </c>
      <c r="D29" s="2" t="n">
        <v>21</v>
      </c>
      <c r="E29" s="2" t="n">
        <v>334792</v>
      </c>
      <c r="F29" s="2" t="n">
        <v>15942.48</v>
      </c>
    </row>
    <row r="30">
      <c r="A30" s="2" t="n">
        <v>29</v>
      </c>
      <c r="B30" s="2" t="inlineStr">
        <is>
          <t>蕭宥翔</t>
        </is>
      </c>
      <c r="C30" s="2" t="inlineStr">
        <is>
          <t>南區業務部</t>
        </is>
      </c>
      <c r="D30" s="2" t="n">
        <v>18</v>
      </c>
      <c r="E30" s="2" t="n">
        <v>321155</v>
      </c>
      <c r="F30" s="2" t="n">
        <v>17841.94</v>
      </c>
    </row>
    <row r="31">
      <c r="A31" s="2" t="n">
        <v>30</v>
      </c>
      <c r="B31" s="2" t="inlineStr">
        <is>
          <t>周玉婷</t>
        </is>
      </c>
      <c r="C31" s="2" t="inlineStr">
        <is>
          <t>北區業務部</t>
        </is>
      </c>
      <c r="D31" s="2" t="n">
        <v>19</v>
      </c>
      <c r="E31" s="2" t="n">
        <v>295978</v>
      </c>
      <c r="F31" s="2" t="n">
        <v>15577.79</v>
      </c>
    </row>
    <row r="32">
      <c r="A32" s="2" t="n">
        <v>31</v>
      </c>
      <c r="B32" s="2" t="inlineStr">
        <is>
          <t>張 冠宇</t>
        </is>
      </c>
      <c r="C32" s="2" t="inlineStr">
        <is>
          <t>海外業務部</t>
        </is>
      </c>
      <c r="D32" s="2" t="n">
        <v>1</v>
      </c>
      <c r="E32" s="2" t="n">
        <v>40908</v>
      </c>
      <c r="F32" s="2" t="n">
        <v>40908</v>
      </c>
    </row>
    <row r="33">
      <c r="A33" s="2" t="n">
        <v>32</v>
      </c>
      <c r="B33" s="2" t="inlineStr">
        <is>
          <t>王 信宏</t>
        </is>
      </c>
      <c r="C33" s="2" t="inlineStr">
        <is>
          <t>北區業務部</t>
        </is>
      </c>
      <c r="D33" s="2" t="n">
        <v>1</v>
      </c>
      <c r="E33" s="2" t="n">
        <v>19701</v>
      </c>
      <c r="F33" s="2" t="n">
        <v>19701</v>
      </c>
    </row>
    <row r="34">
      <c r="A34" s="2" t="n">
        <v>33</v>
      </c>
      <c r="B34" s="2" t="inlineStr">
        <is>
          <t>蕭 宥翔</t>
        </is>
      </c>
      <c r="C34" s="2" t="inlineStr">
        <is>
          <t>南區業務部</t>
        </is>
      </c>
      <c r="D34" s="2" t="n">
        <v>1</v>
      </c>
      <c r="E34" s="2" t="n">
        <v>16446</v>
      </c>
      <c r="F34" s="2" t="n">
        <v>16446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產品類別</t>
        </is>
      </c>
      <c r="B1" s="1" t="inlineStr">
        <is>
          <t>銷售筆數</t>
        </is>
      </c>
      <c r="C1" s="1" t="inlineStr">
        <is>
          <t>銷售總額</t>
        </is>
      </c>
      <c r="D1" s="1" t="inlineStr">
        <is>
          <t>銷售佔比</t>
        </is>
      </c>
    </row>
    <row r="2">
      <c r="A2" s="2" t="inlineStr">
        <is>
          <t>家電</t>
        </is>
      </c>
      <c r="B2" s="2" t="n">
        <v>50</v>
      </c>
      <c r="C2" s="2" t="n">
        <v>1835115</v>
      </c>
      <c r="D2" s="2" t="n">
        <v>0.1314</v>
      </c>
    </row>
    <row r="3">
      <c r="A3" s="2" t="inlineStr">
        <is>
          <t>影像設備</t>
        </is>
      </c>
      <c r="B3" s="2" t="n">
        <v>48</v>
      </c>
      <c r="C3" s="2" t="n">
        <v>903275</v>
      </c>
      <c r="D3" s="2" t="n">
        <v>0.06469999999999999</v>
      </c>
    </row>
    <row r="4">
      <c r="A4" s="2" t="inlineStr">
        <is>
          <t>穿戴裝置</t>
        </is>
      </c>
      <c r="B4" s="2" t="n">
        <v>138</v>
      </c>
      <c r="C4" s="2" t="n">
        <v>3623394</v>
      </c>
      <c r="D4" s="2" t="n">
        <v>0.2594</v>
      </c>
    </row>
    <row r="5">
      <c r="A5" s="2" t="inlineStr">
        <is>
          <t>配件</t>
        </is>
      </c>
      <c r="B5" s="2" t="n">
        <v>172</v>
      </c>
      <c r="C5" s="2" t="n">
        <v>816176</v>
      </c>
      <c r="D5" s="2" t="n">
        <v>0.0584</v>
      </c>
    </row>
    <row r="6">
      <c r="A6" s="2" t="inlineStr">
        <is>
          <t>電腦周邊</t>
        </is>
      </c>
      <c r="B6" s="2" t="n">
        <v>148</v>
      </c>
      <c r="C6" s="2" t="n">
        <v>4204100</v>
      </c>
      <c r="D6" s="2" t="n">
        <v>0.3009</v>
      </c>
    </row>
    <row r="7">
      <c r="A7" s="2" t="inlineStr">
        <is>
          <t>音訊設備</t>
        </is>
      </c>
      <c r="B7" s="2" t="n">
        <v>167</v>
      </c>
      <c r="C7" s="2" t="n">
        <v>2587734</v>
      </c>
      <c r="D7" s="2" t="n">
        <v>0.1852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客戶區域</t>
        </is>
      </c>
      <c r="B1" s="1" t="inlineStr">
        <is>
          <t>銷售筆數</t>
        </is>
      </c>
      <c r="C1" s="1" t="inlineStr">
        <is>
          <t>銷售總額</t>
        </is>
      </c>
    </row>
    <row r="2">
      <c r="A2" s="2" t="inlineStr">
        <is>
          <t>台中</t>
        </is>
      </c>
      <c r="B2" s="2" t="n">
        <v>101</v>
      </c>
      <c r="C2" s="2" t="n">
        <v>2059398</v>
      </c>
    </row>
    <row r="3">
      <c r="A3" s="2" t="inlineStr">
        <is>
          <t>其他</t>
        </is>
      </c>
      <c r="B3" s="2" t="n">
        <v>108</v>
      </c>
      <c r="C3" s="2" t="n">
        <v>1980982</v>
      </c>
    </row>
    <row r="4">
      <c r="A4" s="2" t="inlineStr">
        <is>
          <t>桃園</t>
        </is>
      </c>
      <c r="B4" s="2" t="n">
        <v>88</v>
      </c>
      <c r="C4" s="2" t="n">
        <v>1757372</v>
      </c>
    </row>
    <row r="5">
      <c r="A5" s="2" t="inlineStr">
        <is>
          <t>新北</t>
        </is>
      </c>
      <c r="B5" s="2" t="n">
        <v>94</v>
      </c>
      <c r="C5" s="2" t="n">
        <v>1719010</v>
      </c>
    </row>
    <row r="6">
      <c r="A6" s="2" t="inlineStr">
        <is>
          <t>高雄</t>
        </is>
      </c>
      <c r="B6" s="2" t="n">
        <v>77</v>
      </c>
      <c r="C6" s="2" t="n">
        <v>1715822</v>
      </c>
    </row>
    <row r="7">
      <c r="A7" s="2" t="inlineStr">
        <is>
          <t>台南</t>
        </is>
      </c>
      <c r="B7" s="2" t="n">
        <v>90</v>
      </c>
      <c r="C7" s="2" t="n">
        <v>1697042</v>
      </c>
    </row>
    <row r="8">
      <c r="A8" s="2" t="inlineStr">
        <is>
          <t>新竹</t>
        </is>
      </c>
      <c r="B8" s="2" t="n">
        <v>82</v>
      </c>
      <c r="C8" s="2" t="n">
        <v>1590396</v>
      </c>
    </row>
    <row r="9">
      <c r="A9" s="2" t="inlineStr">
        <is>
          <t>台北</t>
        </is>
      </c>
      <c r="B9" s="2" t="n">
        <v>83</v>
      </c>
      <c r="C9" s="2" t="n">
        <v>1449772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2026-03-13T02:42:25Z</dcterms:created>
  <dcterms:modified xsi:type="dcterms:W3CDTF">2026-03-13T02:42:25Z</dcterms:modified>
</cp:coreProperties>
</file>